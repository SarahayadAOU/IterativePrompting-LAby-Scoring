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OU Staff 3\Documents\Sarah Ayad\24_25\laby\"/>
    </mc:Choice>
  </mc:AlternateContent>
  <bookViews>
    <workbookView xWindow="0" yWindow="0" windowWidth="28800" windowHeight="1221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/>
  <c r="H21" i="1"/>
  <c r="F20" i="1"/>
  <c r="G20" i="1"/>
  <c r="H20" i="1"/>
  <c r="F19" i="1"/>
  <c r="G19" i="1"/>
  <c r="H19" i="1"/>
  <c r="F18" i="1"/>
  <c r="G18" i="1"/>
  <c r="H18" i="1"/>
  <c r="F17" i="1"/>
  <c r="G17" i="1"/>
  <c r="H17" i="1"/>
  <c r="F16" i="1"/>
  <c r="G16" i="1"/>
  <c r="H16" i="1"/>
  <c r="F15" i="1"/>
  <c r="G15" i="1"/>
  <c r="H15" i="1"/>
  <c r="F14" i="1"/>
  <c r="G14" i="1"/>
  <c r="H14" i="1"/>
  <c r="F13" i="1"/>
  <c r="G13" i="1"/>
  <c r="H13" i="1"/>
  <c r="H12" i="1"/>
  <c r="H11" i="1"/>
  <c r="H10" i="1"/>
  <c r="H9" i="1"/>
  <c r="H8" i="1"/>
  <c r="H7" i="1"/>
  <c r="H6" i="1"/>
  <c r="H5" i="1"/>
  <c r="H4" i="1"/>
  <c r="H3" i="1"/>
  <c r="H2" i="1"/>
  <c r="G12" i="1"/>
  <c r="G11" i="1"/>
  <c r="G10" i="1"/>
  <c r="G9" i="1"/>
  <c r="G8" i="1"/>
  <c r="G7" i="1"/>
  <c r="G6" i="1"/>
  <c r="G5" i="1"/>
  <c r="G4" i="1"/>
  <c r="G3" i="1"/>
  <c r="G2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<sst xmlns="http://schemas.openxmlformats.org/spreadsheetml/2006/main" count="8" uniqueCount="8">
  <si>
    <t>LC</t>
  </si>
  <si>
    <t>DP</t>
  </si>
  <si>
    <t>MD</t>
  </si>
  <si>
    <t>INDEX GENERAL D'ERREUR</t>
  </si>
  <si>
    <t>TT</t>
  </si>
  <si>
    <t>INDEX D'INHIBITION</t>
  </si>
  <si>
    <t>AVERSION DE DELAI</t>
  </si>
  <si>
    <t>IMAGE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</si>
</sst>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F13" sqref="F13"/>
    </sheetView>
  </sheetViews>
  <sheetFormatPr defaultColWidth="11" defaultRowHeight="15.75" x14ac:dyDescent="0.25"/>
  <cols>
    <col min="5" max="5" width="9.5" customWidth="1"/>
    <col min="6" max="6" width="25.875" customWidth="1"/>
    <col min="7" max="7" width="24.875" customWidth="1"/>
    <col min="8" max="8" width="24.5" customWidth="1"/>
  </cols>
  <sheetData>
    <row r="1" spans="1:8" x14ac:dyDescent="0.25">
      <c r="A1" t="s">
        <v>7</v>
      </c>
      <c r="B1" t="s">
        <v>0</v>
      </c>
      <c r="C1" t="s">
        <v>2</v>
      </c>
      <c r="D1" t="s">
        <v>1</v>
      </c>
      <c r="E1" t="s">
        <v>4</v>
      </c>
      <c r="F1" s="1" t="s">
        <v>3</v>
      </c>
      <c r="G1" s="2" t="s">
        <v>5</v>
      </c>
      <c r="H1" s="3" t="s">
        <v>6</v>
      </c>
    </row>
    <row r="2" spans="1:8" x14ac:dyDescent="0.25">
      <c r="A2">
        <v>1</v>
      </c>
      <c r="B2">
        <v>7</v>
      </c>
      <c r="C2">
        <v>5</v>
      </c>
      <c r="D2">
        <v>63</v>
      </c>
      <c r="E2">
        <v>96</v>
      </c>
      <c r="F2" s="4">
        <f t="shared" ref="F2:F21" si="0">((B2+C2+(D2/10))/E2)*60</f>
        <v>11.437500000000002</v>
      </c>
      <c r="G2" s="4">
        <f t="shared" ref="G2:G21" si="1">+((D2/10)/E2)*60</f>
        <v>3.9375</v>
      </c>
      <c r="H2" s="4">
        <f t="shared" ref="H2:H21" si="2">(B2/E2)*60</f>
        <v>4.375</v>
      </c>
    </row>
    <row r="3" spans="1:8" x14ac:dyDescent="0.25">
      <c r="A3">
        <v>2</v>
      </c>
      <c r="B3">
        <v>8</v>
      </c>
      <c r="C3">
        <v>2</v>
      </c>
      <c r="D3">
        <v>10</v>
      </c>
      <c r="E3">
        <v>25</v>
      </c>
      <c r="F3" s="4">
        <f t="shared" si="0"/>
        <v>26.4</v>
      </c>
      <c r="G3" s="4">
        <f t="shared" si="1"/>
        <v>2.4</v>
      </c>
      <c r="H3" s="4">
        <f t="shared" si="2"/>
        <v>19.2</v>
      </c>
    </row>
    <row r="4" spans="1:8" x14ac:dyDescent="0.25">
      <c r="A4">
        <v>3</v>
      </c>
      <c r="B4">
        <v>1</v>
      </c>
      <c r="C4">
        <v>2</v>
      </c>
      <c r="D4">
        <v>2</v>
      </c>
      <c r="E4">
        <v>73</v>
      </c>
      <c r="F4" s="4">
        <f t="shared" si="0"/>
        <v>2.6301369863013697</v>
      </c>
      <c r="G4" s="4">
        <f t="shared" si="1"/>
        <v>0.16438356164383561</v>
      </c>
      <c r="H4" s="4">
        <f t="shared" si="2"/>
        <v>0.82191780821917804</v>
      </c>
    </row>
    <row r="5" spans="1:8" x14ac:dyDescent="0.25">
      <c r="A5">
        <v>4</v>
      </c>
      <c r="B5">
        <v>4</v>
      </c>
      <c r="C5">
        <v>3</v>
      </c>
      <c r="D5">
        <v>9</v>
      </c>
      <c r="E5">
        <v>41</v>
      </c>
      <c r="F5" s="4">
        <f t="shared" si="0"/>
        <v>11.560975609756097</v>
      </c>
      <c r="G5" s="4">
        <f t="shared" si="1"/>
        <v>1.3170731707317074</v>
      </c>
      <c r="H5" s="4">
        <f t="shared" si="2"/>
        <v>5.8536585365853657</v>
      </c>
    </row>
    <row r="6" spans="1:8" x14ac:dyDescent="0.25">
      <c r="A6">
        <v>5</v>
      </c>
      <c r="B6">
        <v>0</v>
      </c>
      <c r="C6">
        <v>1</v>
      </c>
      <c r="D6">
        <v>1</v>
      </c>
      <c r="E6">
        <v>32</v>
      </c>
      <c r="F6" s="4">
        <f t="shared" si="0"/>
        <v>2.0625</v>
      </c>
      <c r="G6" s="4">
        <f t="shared" si="1"/>
        <v>0.1875</v>
      </c>
      <c r="H6" s="4">
        <f t="shared" si="2"/>
        <v>0</v>
      </c>
    </row>
    <row r="7" spans="1:8" x14ac:dyDescent="0.25">
      <c r="A7">
        <v>6</v>
      </c>
      <c r="B7">
        <v>2</v>
      </c>
      <c r="C7">
        <v>2</v>
      </c>
      <c r="D7">
        <v>2</v>
      </c>
      <c r="E7">
        <v>50</v>
      </c>
      <c r="F7" s="4">
        <f t="shared" si="0"/>
        <v>5.04</v>
      </c>
      <c r="G7" s="4">
        <f t="shared" si="1"/>
        <v>0.24</v>
      </c>
      <c r="H7" s="4">
        <f t="shared" si="2"/>
        <v>2.4</v>
      </c>
    </row>
    <row r="8" spans="1:8" x14ac:dyDescent="0.25">
      <c r="A8">
        <v>7</v>
      </c>
      <c r="B8">
        <v>11</v>
      </c>
      <c r="C8">
        <v>4</v>
      </c>
      <c r="D8">
        <v>21</v>
      </c>
      <c r="E8">
        <v>15</v>
      </c>
      <c r="F8" s="4">
        <f t="shared" si="0"/>
        <v>68.400000000000006</v>
      </c>
      <c r="G8" s="4">
        <f t="shared" si="1"/>
        <v>8.4</v>
      </c>
      <c r="H8" s="4">
        <f t="shared" si="2"/>
        <v>44</v>
      </c>
    </row>
    <row r="9" spans="1:8" x14ac:dyDescent="0.25">
      <c r="A9">
        <v>8</v>
      </c>
      <c r="B9">
        <v>4</v>
      </c>
      <c r="C9">
        <v>4</v>
      </c>
      <c r="D9">
        <v>7</v>
      </c>
      <c r="E9">
        <v>47</v>
      </c>
      <c r="F9" s="4">
        <f t="shared" si="0"/>
        <v>11.106382978723403</v>
      </c>
      <c r="G9" s="4">
        <f t="shared" si="1"/>
        <v>0.8936170212765957</v>
      </c>
      <c r="H9" s="4">
        <f t="shared" si="2"/>
        <v>5.1063829787234045</v>
      </c>
    </row>
    <row r="10" spans="1:8" x14ac:dyDescent="0.25">
      <c r="A10">
        <v>9</v>
      </c>
      <c r="B10">
        <v>3</v>
      </c>
      <c r="C10">
        <v>2</v>
      </c>
      <c r="D10">
        <v>4</v>
      </c>
      <c r="E10">
        <v>37</v>
      </c>
      <c r="F10" s="4">
        <f t="shared" si="0"/>
        <v>8.7567567567567579</v>
      </c>
      <c r="G10" s="4">
        <f t="shared" si="1"/>
        <v>0.64864864864864868</v>
      </c>
      <c r="H10" s="4">
        <f t="shared" si="2"/>
        <v>4.8648648648648649</v>
      </c>
    </row>
    <row r="11" spans="1:8" x14ac:dyDescent="0.25">
      <c r="A11">
        <v>10</v>
      </c>
      <c r="B11">
        <v>3</v>
      </c>
      <c r="C11">
        <v>0</v>
      </c>
      <c r="D11">
        <v>0</v>
      </c>
      <c r="E11">
        <v>63</v>
      </c>
      <c r="F11" s="4">
        <f t="shared" si="0"/>
        <v>2.8571428571428568</v>
      </c>
      <c r="G11" s="4">
        <f t="shared" si="1"/>
        <v>0</v>
      </c>
      <c r="H11" s="4">
        <f t="shared" si="2"/>
        <v>2.8571428571428568</v>
      </c>
    </row>
    <row r="12" spans="1:8" x14ac:dyDescent="0.25">
      <c r="A12">
        <v>11</v>
      </c>
      <c r="B12">
        <v>4</v>
      </c>
      <c r="C12">
        <v>1</v>
      </c>
      <c r="D12">
        <v>1</v>
      </c>
      <c r="E12">
        <v>52</v>
      </c>
      <c r="F12" s="4">
        <f t="shared" si="0"/>
        <v>5.8846153846153841</v>
      </c>
      <c r="G12" s="4">
        <f t="shared" si="1"/>
        <v>0.11538461538461539</v>
      </c>
      <c r="H12" s="4">
        <f t="shared" si="2"/>
        <v>4.6153846153846159</v>
      </c>
    </row>
    <row r="13" spans="1:8" x14ac:dyDescent="0.25">
      <c r="A13">
        <v>12</v>
      </c>
      <c r="B13">
        <v>9</v>
      </c>
      <c r="C13">
        <v>4</v>
      </c>
      <c r="D13">
        <v>26</v>
      </c>
      <c r="E13">
        <v>35</v>
      </c>
      <c r="F13" s="4">
        <f t="shared" si="0"/>
        <v>26.742857142857144</v>
      </c>
      <c r="G13" s="4">
        <f t="shared" si="1"/>
        <v>4.4571428571428573</v>
      </c>
      <c r="H13" s="4">
        <f t="shared" si="2"/>
        <v>15.428571428571427</v>
      </c>
    </row>
    <row r="14" spans="1:8" x14ac:dyDescent="0.25">
      <c r="A14">
        <v>13</v>
      </c>
      <c r="B14">
        <v>9</v>
      </c>
      <c r="C14">
        <v>1</v>
      </c>
      <c r="D14">
        <v>1</v>
      </c>
      <c r="E14">
        <v>15</v>
      </c>
      <c r="F14" s="4">
        <f t="shared" si="0"/>
        <v>40.4</v>
      </c>
      <c r="G14" s="4">
        <f t="shared" si="1"/>
        <v>0.4</v>
      </c>
      <c r="H14" s="4">
        <f t="shared" si="2"/>
        <v>36</v>
      </c>
    </row>
    <row r="15" spans="1:8" x14ac:dyDescent="0.25">
      <c r="A15">
        <v>14</v>
      </c>
      <c r="B15">
        <v>3</v>
      </c>
      <c r="C15">
        <v>1</v>
      </c>
      <c r="D15">
        <v>2</v>
      </c>
      <c r="E15">
        <v>20</v>
      </c>
      <c r="F15" s="4">
        <f t="shared" si="0"/>
        <v>12.600000000000001</v>
      </c>
      <c r="G15" s="4">
        <f t="shared" si="1"/>
        <v>0.6</v>
      </c>
      <c r="H15" s="4">
        <f t="shared" si="2"/>
        <v>9</v>
      </c>
    </row>
    <row r="16" spans="1:8" x14ac:dyDescent="0.25">
      <c r="A16">
        <v>15</v>
      </c>
      <c r="B16">
        <v>1</v>
      </c>
      <c r="C16">
        <v>3</v>
      </c>
      <c r="D16">
        <v>26</v>
      </c>
      <c r="E16">
        <v>39</v>
      </c>
      <c r="F16" s="4">
        <f t="shared" si="0"/>
        <v>10.153846153846153</v>
      </c>
      <c r="G16" s="4">
        <f t="shared" si="1"/>
        <v>4</v>
      </c>
      <c r="H16" s="4">
        <f t="shared" si="2"/>
        <v>1.5384615384615383</v>
      </c>
    </row>
    <row r="17" spans="1:8" x14ac:dyDescent="0.25">
      <c r="A17">
        <v>16</v>
      </c>
      <c r="B17">
        <v>0</v>
      </c>
      <c r="C17">
        <v>1</v>
      </c>
      <c r="D17">
        <v>3</v>
      </c>
      <c r="E17">
        <v>50</v>
      </c>
      <c r="F17" s="4">
        <f t="shared" si="0"/>
        <v>1.56</v>
      </c>
      <c r="G17" s="4">
        <f t="shared" si="1"/>
        <v>0.36</v>
      </c>
      <c r="H17" s="4">
        <f t="shared" si="2"/>
        <v>0</v>
      </c>
    </row>
    <row r="18" spans="1:8" x14ac:dyDescent="0.25">
      <c r="A18">
        <v>17</v>
      </c>
      <c r="B18">
        <v>3</v>
      </c>
      <c r="C18">
        <v>5</v>
      </c>
      <c r="D18">
        <v>10</v>
      </c>
      <c r="E18">
        <v>65</v>
      </c>
      <c r="F18" s="4">
        <f t="shared" si="0"/>
        <v>8.3076923076923084</v>
      </c>
      <c r="G18" s="4">
        <f t="shared" si="1"/>
        <v>0.92307692307692313</v>
      </c>
      <c r="H18" s="4">
        <f t="shared" si="2"/>
        <v>2.7692307692307692</v>
      </c>
    </row>
    <row r="19" spans="1:8" x14ac:dyDescent="0.25">
      <c r="A19">
        <v>18</v>
      </c>
      <c r="B19">
        <v>6</v>
      </c>
      <c r="C19">
        <v>4</v>
      </c>
      <c r="D19">
        <v>25</v>
      </c>
      <c r="E19">
        <v>89</v>
      </c>
      <c r="F19" s="4">
        <f t="shared" si="0"/>
        <v>8.4269662921348321</v>
      </c>
      <c r="G19" s="4">
        <f t="shared" si="1"/>
        <v>1.6853932584269662</v>
      </c>
      <c r="H19" s="4">
        <f t="shared" si="2"/>
        <v>4.0449438202247192</v>
      </c>
    </row>
    <row r="20" spans="1:8" x14ac:dyDescent="0.25">
      <c r="A20">
        <v>19</v>
      </c>
      <c r="B20">
        <v>2</v>
      </c>
      <c r="C20">
        <v>1</v>
      </c>
      <c r="D20">
        <v>7</v>
      </c>
      <c r="E20">
        <v>58</v>
      </c>
      <c r="F20" s="4">
        <f t="shared" si="0"/>
        <v>3.827586206896552</v>
      </c>
      <c r="G20" s="4">
        <f t="shared" si="1"/>
        <v>0.72413793103448276</v>
      </c>
      <c r="H20" s="4">
        <f t="shared" si="2"/>
        <v>2.0689655172413794</v>
      </c>
    </row>
    <row r="21" spans="1:8" x14ac:dyDescent="0.25">
      <c r="A21">
        <v>20</v>
      </c>
      <c r="B21">
        <v>0</v>
      </c>
      <c r="C21">
        <v>0</v>
      </c>
      <c r="D21">
        <v>0</v>
      </c>
      <c r="E21">
        <v>83</v>
      </c>
      <c r="F21" s="4">
        <f t="shared" si="0"/>
        <v>0</v>
      </c>
      <c r="G21" s="4">
        <f t="shared" si="1"/>
        <v>0</v>
      </c>
      <c r="H21" s="4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Kattar</dc:creator>
  <cp:lastModifiedBy>AOU Staff 3</cp:lastModifiedBy>
  <dcterms:created xsi:type="dcterms:W3CDTF">2025-04-05T15:58:59Z</dcterms:created>
  <dcterms:modified xsi:type="dcterms:W3CDTF">2025-05-20T07:49:17Z</dcterms:modified>
</cp:coreProperties>
</file>